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<sst xmlns="http://schemas.openxmlformats.org/spreadsheetml/2006/main" count="611" uniqueCount="240">
  <si>
    <t>HeThongNguon</t>
  </si>
  <si>
    <t>TenBang</t>
  </si>
  <si>
    <t>Grain</t>
  </si>
  <si>
    <t>TenCot</t>
  </si>
  <si>
    <t>KieuDuLieu</t>
  </si>
  <si>
    <t>VaiTro</t>
  </si>
  <si>
    <t>YNghiaNghiepVu</t>
  </si>
  <si>
    <t>GiaTriHopLe</t>
  </si>
  <si>
    <t>KhoaNoiSangBang</t>
  </si>
  <si>
    <t>01_BanHang</t>
  </si>
  <si>
    <t>02_KeToan</t>
  </si>
  <si>
    <t>03_Kho_MuaHang</t>
  </si>
  <si>
    <t>04_ExcelPhongBan</t>
  </si>
  <si>
    <t>Dim_KhachHang</t>
  </si>
  <si>
    <t>Fact_DonHang</t>
  </si>
  <si>
    <t>Fact_ChiTietDonHang</t>
  </si>
  <si>
    <t>Fact_HoaDonCongNoPhaiThu</t>
  </si>
  <si>
    <t>Fact_CongNoPhaiTra</t>
  </si>
  <si>
    <t>Fact_ChiPhi</t>
  </si>
  <si>
    <t>Dim_GiaVon</t>
  </si>
  <si>
    <t>Dim_SanPham</t>
  </si>
  <si>
    <t>Dim_NhaCungCap</t>
  </si>
  <si>
    <t>Fact_NhapXuatTonKho</t>
  </si>
  <si>
    <t>Fact_DonMuaHang</t>
  </si>
  <si>
    <t>Dim_NhanVienSales</t>
  </si>
  <si>
    <t>Fact_ChiTieuKeHoach</t>
  </si>
  <si>
    <t>Dim_PhanNhomKhachHang</t>
  </si>
  <si>
    <t>1 dòng = 1 khách hàng</t>
  </si>
  <si>
    <t>1 dòng = 1 đơn hàng</t>
  </si>
  <si>
    <t>1 dòng = 1 dòng sản phẩm trong 1 đơn hàng (order line)</t>
  </si>
  <si>
    <t>1 dòng = 1 hóa đơn bán hàng / khoản công nợ phải thu</t>
  </si>
  <si>
    <t>1 dòng = 1 khoản công nợ phải trả nhà cung cấp</t>
  </si>
  <si>
    <t>1 dòng = 1 khoản mục chi phí trong 1 tháng</t>
  </si>
  <si>
    <t>1 dòng = 1 sản phẩm (giá vốn hiện hành)</t>
  </si>
  <si>
    <t>1 dòng = 1 sản phẩm</t>
  </si>
  <si>
    <t>1 dòng = 1 nhà cung cấp</t>
  </si>
  <si>
    <t>1 dòng = 1 sản phẩm x 1 tháng (snapshot tồn kho)</t>
  </si>
  <si>
    <t>1 dòng = 1 đơn mua hàng từ nhà cung cấp</t>
  </si>
  <si>
    <t>1 dòng = 1 nhân viên kinh doanh</t>
  </si>
  <si>
    <t>1 dòng = 1 tháng x 1 vùng x 1 nhân viên</t>
  </si>
  <si>
    <t>1 dòng = 1 khách hàng ĐÃ ĐƯỢC phòng KD phân nhóm (chỉ phủ ~70-90% Dim_KhachHang — cố ý KHÔNG đầy đủ)</t>
  </si>
  <si>
    <t>MaKhachHang</t>
  </si>
  <si>
    <t>TenKhachHang</t>
  </si>
  <si>
    <t>Vung</t>
  </si>
  <si>
    <t>LoaiKhach</t>
  </si>
  <si>
    <t>NgayBatDauGiaoDich</t>
  </si>
  <si>
    <t>HanMucCongNo</t>
  </si>
  <si>
    <t>MaDonHang</t>
  </si>
  <si>
    <t>NgayDatHang</t>
  </si>
  <si>
    <t>KenhBan</t>
  </si>
  <si>
    <t>NhanVienBanHang</t>
  </si>
  <si>
    <t>TrangThai</t>
  </si>
  <si>
    <t>MaChiTiet</t>
  </si>
  <si>
    <t>MaSanPham</t>
  </si>
  <si>
    <t>SoLuong</t>
  </si>
  <si>
    <t>GiaBanThucTe</t>
  </si>
  <si>
    <t>ChietKhau</t>
  </si>
  <si>
    <t>MaHoaDon</t>
  </si>
  <si>
    <t>NgayXuatHoaDon</t>
  </si>
  <si>
    <t>HanThanhToan</t>
  </si>
  <si>
    <t>SoTien</t>
  </si>
  <si>
    <t>DaThu</t>
  </si>
  <si>
    <t>ConLai</t>
  </si>
  <si>
    <t>MaCongNoPhaiTra</t>
  </si>
  <si>
    <t>MaDonMuaHang</t>
  </si>
  <si>
    <t>MaNhaCungCap</t>
  </si>
  <si>
    <t>NgayHoaDon</t>
  </si>
  <si>
    <t>DaTra</t>
  </si>
  <si>
    <t>MaChiPhi</t>
  </si>
  <si>
    <t>Thang</t>
  </si>
  <si>
    <t>KhoanMuc</t>
  </si>
  <si>
    <t>GiaVon</t>
  </si>
  <si>
    <t>TenSanPham</t>
  </si>
  <si>
    <t>NhomHang</t>
  </si>
  <si>
    <t>DonViTinh</t>
  </si>
  <si>
    <t>GiaNiemYet</t>
  </si>
  <si>
    <t>HanSuDungNgay</t>
  </si>
  <si>
    <t>TenNhaCungCap</t>
  </si>
  <si>
    <t>NgayHopTac</t>
  </si>
  <si>
    <t>TonDauKy</t>
  </si>
  <si>
    <t>Nhap</t>
  </si>
  <si>
    <t>Xuat</t>
  </si>
  <si>
    <t>HaoHut</t>
  </si>
  <si>
    <t>TonCuoiKy</t>
  </si>
  <si>
    <t>DonGiaMua</t>
  </si>
  <si>
    <t>MaNhanVien</t>
  </si>
  <si>
    <t>TenNhanVien</t>
  </si>
  <si>
    <t>KhuVucPhuTrach</t>
  </si>
  <si>
    <t>ChucVu</t>
  </si>
  <si>
    <t>NgayVaoLam</t>
  </si>
  <si>
    <t>ChiTieuDoanhThu</t>
  </si>
  <si>
    <t>NhomKH</t>
  </si>
  <si>
    <t>VARCHAR(20)</t>
  </si>
  <si>
    <t>NVARCHAR(250)</t>
  </si>
  <si>
    <t>NVARCHAR(50)</t>
  </si>
  <si>
    <t>VARCHAR(10)</t>
  </si>
  <si>
    <t>DATE</t>
  </si>
  <si>
    <t>DECIMAL(18,2)</t>
  </si>
  <si>
    <t>VARCHAR(30)</t>
  </si>
  <si>
    <t>DATETIME</t>
  </si>
  <si>
    <t>INT</t>
  </si>
  <si>
    <t>DECIMAL(5,2)</t>
  </si>
  <si>
    <t>NVARCHAR(100)</t>
  </si>
  <si>
    <t>NVARCHAR(20)</t>
  </si>
  <si>
    <t>NVARCHAR(150)</t>
  </si>
  <si>
    <t>PK</t>
  </si>
  <si>
    <t>Attribute</t>
  </si>
  <si>
    <t>Attribute [NGOÀI ĐỀ BÀI]</t>
  </si>
  <si>
    <t>FK</t>
  </si>
  <si>
    <t>Metric</t>
  </si>
  <si>
    <t>Attribute (Key)</t>
  </si>
  <si>
    <t>PK / FK</t>
  </si>
  <si>
    <t>PK Composite / FK</t>
  </si>
  <si>
    <t>PK Composite</t>
  </si>
  <si>
    <t>Metric [NGOÀI ĐỀ BÀI]</t>
  </si>
  <si>
    <t>Mã định danh duy nhất của khách hàng</t>
  </si>
  <si>
    <t>Tên khách hàng — tên người nếu Loại=Lẻ, tên công ty nếu Loại=Sỉ</t>
  </si>
  <si>
    <t>Vùng địa lý của khách hàng</t>
  </si>
  <si>
    <t>Phân loại khách hàng theo hình thức mua</t>
  </si>
  <si>
    <t>Ngày khách hàng bắt đầu giao dịch với doanh nghiệp</t>
  </si>
  <si>
    <t>Hạn mức nợ tối đa được cấp, khác nhau theo LoaiKhach (Sỉ cao hơn Lẻ nhiều) — xem ASSUMPTIONS.md mục 9</t>
  </si>
  <si>
    <t>Mã định danh duy nhất của đơn hàng</t>
  </si>
  <si>
    <t>Khách hàng đặt đơn</t>
  </si>
  <si>
    <t>Thời điểm đặt hàng (đã cài trọng số mùa vụ theo tháng)</t>
  </si>
  <si>
    <t>Kênh bán phát sinh đơn hàng</t>
  </si>
  <si>
    <t>Nhân viên phụ trách đơn hàng</t>
  </si>
  <si>
    <t>Trạng thái xử lý đơn hàng</t>
  </si>
  <si>
    <t>Mã định danh duy nhất của dòng chi tiết</t>
  </si>
  <si>
    <t>Đơn hàng chứa dòng chi tiết này</t>
  </si>
  <si>
    <t>Sản phẩm được đặt mua</t>
  </si>
  <si>
    <t>Số lượng sản phẩm trong dòng chi tiết</t>
  </si>
  <si>
    <t>Đơn giá bán thực tế (có thể khác GiaNiemYet bên Dim_SanPham)</t>
  </si>
  <si>
    <t>Tỷ lệ chiết khấu áp dụng (dạng thập phân)</t>
  </si>
  <si>
    <t>Mã định danh duy nhất của hóa đơn</t>
  </si>
  <si>
    <t>Đơn hàng phát sinh hóa đơn này</t>
  </si>
  <si>
    <t>Ngày xuất hóa đơn (sau ngày đặt hàng 0-3 ngày)</t>
  </si>
  <si>
    <t>Hạn thanh toán (NgayXuatHoaDon + 30 ngày)</t>
  </si>
  <si>
    <t>Tổng tiền phải thu của hóa đơn</t>
  </si>
  <si>
    <t>Số tiền đã thu — mô phỏng tuổi nợ (đúng hạn/quá hạn 30-60-90/nợ khó đòi &gt;180)</t>
  </si>
  <si>
    <t>Số tiền còn phải thu = SoTien - DaThu</t>
  </si>
  <si>
    <t>Mã định danh duy nhất của khoản công nợ phải trả</t>
  </si>
  <si>
    <t>Đơn mua hàng phát sinh công nợ</t>
  </si>
  <si>
    <t>Nhà cung cấp được nợ tiền</t>
  </si>
  <si>
    <t>Ngày hóa đơn mua hàng (sau ngày đặt mua 1-5 ngày)</t>
  </si>
  <si>
    <t>Hạn thanh toán (NgayHoaDon + 45 ngày)</t>
  </si>
  <si>
    <t>Tổng tiền phải trả = SoLuong × DonGiaMua</t>
  </si>
  <si>
    <t>Số tiền đã trả cho NCC — mô phỏng tuổi nợ tương tự công nợ phải thu</t>
  </si>
  <si>
    <t>Số tiền còn phải trả = SoTien - DaTra</t>
  </si>
  <si>
    <t>Mã định danh duy nhất của dòng chi phí</t>
  </si>
  <si>
    <t>Tháng phát sinh chi phí</t>
  </si>
  <si>
    <t>Khoản mục chi phí</t>
  </si>
  <si>
    <t>Số tiền chi phí (Marketing/Vận chuyển có hệ số mùa vụ)</t>
  </si>
  <si>
    <t>Sản phẩm áp dụng giá vốn</t>
  </si>
  <si>
    <t>Giá vốn — tỷ lệ GiaVon/GiaNiemYet khác nhau theo NhomHang (biên lợi nhuận)</t>
  </si>
  <si>
    <t>Mã định danh duy nhất của sản phẩm</t>
  </si>
  <si>
    <t>Tên sản phẩm — luôn khớp đúng NhomHang tương ứng</t>
  </si>
  <si>
    <t>Nhóm hàng — quyết định biên lợi nhuận (xem Dim_GiaVon)</t>
  </si>
  <si>
    <t>Đơn vị tính</t>
  </si>
  <si>
    <t>Giá bán niêm yết</t>
  </si>
  <si>
    <t>Hạn sử dụng tính bằng ngày kể từ ngày sản xuất — chỉ có ý nghĩa với Nguyên liệu/Thực phẩm chế biến/Đồ uống; Gia dụng để trống (không phải hàng thực phẩm) — xem ASSUMPTIONS.md mục 9</t>
  </si>
  <si>
    <t>Mã định danh duy nhất của nhà cung cấp</t>
  </si>
  <si>
    <t>Tên nhà cung cấp (công ty kiểu Việt Nam)</t>
  </si>
  <si>
    <t>Vùng địa lý của nhà cung cấp</t>
  </si>
  <si>
    <t>Ngày bắt đầu hợp tác</t>
  </si>
  <si>
    <t>Sản phẩm được chốt tồn</t>
  </si>
  <si>
    <t>Tháng chốt tồn kho</t>
  </si>
  <si>
    <t>Tồn kho đầu kỳ (= TonCuoiKy tháng trước)</t>
  </si>
  <si>
    <t>Số lượng nhập trong kỳ (có hệ số mùa vụ + tốc độ luân chuyển SP)</t>
  </si>
  <si>
    <t>Số lượng xuất trong kỳ (SP luân chuyển nhanh/chậm/tồn đọng)</t>
  </si>
  <si>
    <t>Số lượng hao hụt trong kỳ (hư hỏng/hết hạn), tỷ lệ khác nhau theo nhóm hàng — xem ASSUMPTIONS.md mục 9</t>
  </si>
  <si>
    <t>Tồn cuối kỳ = TonDauKy + Nhap - Xuat - HaoHut</t>
  </si>
  <si>
    <t>Mã định danh duy nhất của đơn mua hàng</t>
  </si>
  <si>
    <t>Nhà cung cấp của đơn mua</t>
  </si>
  <si>
    <t>Sản phẩm được mua</t>
  </si>
  <si>
    <t>Ngày lập đơn mua hàng</t>
  </si>
  <si>
    <t>Số lượng đặt mua</t>
  </si>
  <si>
    <t>Đơn giá mua (35-70% GiaNiemYet)</t>
  </si>
  <si>
    <t>Mã định danh duy nhất của nhân viên</t>
  </si>
  <si>
    <t>Tên nhân viên (kiểu Việt Nam)</t>
  </si>
  <si>
    <t>Khu vực phụ trách — quyết định hệ số kế hoạch (xem Fact_ChiTieuKeHoach)</t>
  </si>
  <si>
    <t>Chức vụ</t>
  </si>
  <si>
    <t>Ngày vào làm</t>
  </si>
  <si>
    <t>Tháng áp dụng chỉ tiêu</t>
  </si>
  <si>
    <t>Vùng áp dụng — có hệ số vượt/không đạt kế hoạch riêng theo vùng</t>
  </si>
  <si>
    <t>Nhân viên được giao chỉ tiêu (thuộc đúng Vung)</t>
  </si>
  <si>
    <t>Chỉ tiêu doanh thu kế hoạch — tính từ doanh thu thực tế x hệ số vùng, nên thực-tế-vs-kế-hoạch luôn có chênh</t>
  </si>
  <si>
    <t>Khách hàng được phân nhóm</t>
  </si>
  <si>
    <t>Tên khách hàng do phòng KD tự ghi lại (không đồng bộ tự động)</t>
  </si>
  <si>
    <t>Phân nhóm khách hàng do phòng KD tự đặt</t>
  </si>
  <si>
    <t>KHxxxx (KH0001..KH0450)</t>
  </si>
  <si>
    <t>Chuỗi ký tự tiếng Việt</t>
  </si>
  <si>
    <t>Miền Bắc / Miền Trung / Miền Nam</t>
  </si>
  <si>
    <t>Sỉ / Lẻ</t>
  </si>
  <si>
    <t>Ngày hợp lệ, trước DATE_START của kỳ dữ liệu</t>
  </si>
  <si>
    <t>Sỉ: 200tr-800tr / Lẻ: 5tr-30tr VNĐ</t>
  </si>
  <si>
    <t>DHxxxxxx</t>
  </si>
  <si>
    <t>Phải tồn tại trong Dim_KhachHang</t>
  </si>
  <si>
    <t>Ngày giờ hợp lệ trong 24 tháng lịch sử</t>
  </si>
  <si>
    <t>TMĐT-Shopee/Lazada/Tiki, Đại lý, Bán lẻ trực tiếp, Showroom</t>
  </si>
  <si>
    <t>Phải tồn tại trong Dim_NhanVienSales</t>
  </si>
  <si>
    <t>Mới / Đang xử lý / Đã giao / Đã hủy / Trả hàng</t>
  </si>
  <si>
    <t>CTxxxxxxx</t>
  </si>
  <si>
    <t>Phải tồn tại trong Fact_DonHang</t>
  </si>
  <si>
    <t>Phải tồn tại trong Dim_SanPham</t>
  </si>
  <si>
    <t>Số nguyên dương</t>
  </si>
  <si>
    <t>VNĐ &gt; 0</t>
  </si>
  <si>
    <t>0.00 - 0.30</t>
  </si>
  <si>
    <t>HDxxxxxx</t>
  </si>
  <si>
    <t>Ngày hợp lệ</t>
  </si>
  <si>
    <t>Ngày hợp lệ, &gt;= NgayXuatHoaDon</t>
  </si>
  <si>
    <t>0 &lt;= DaThu &lt;= SoTien (bản sạch)</t>
  </si>
  <si>
    <t>CNTxxxxxx</t>
  </si>
  <si>
    <t>Phải tồn tại trong Fact_DonMuaHang</t>
  </si>
  <si>
    <t>Phải tồn tại trong Dim_NhaCungCap</t>
  </si>
  <si>
    <t>Ngày hợp lệ, &gt;= NgayHoaDon</t>
  </si>
  <si>
    <t>0 &lt;= DaTra &lt;= SoTien (bản sạch)</t>
  </si>
  <si>
    <t>CPxxxxx</t>
  </si>
  <si>
    <t>yyyy-mm</t>
  </si>
  <si>
    <t>Lương NV, Thuê mặt bằng, Marketing, Vận chuyển, Điện nước VP, Khấu hao TB, Chi phí khác</t>
  </si>
  <si>
    <t>VNĐ &gt; 0, &lt; GiaNiemYet (bản sạch)</t>
  </si>
  <si>
    <t>SPxxxx (SP0001..SP0220)</t>
  </si>
  <si>
    <t>Nguyên liệu đầu vào / Thực phẩm chế biến / Đồ uống / Gia dụng</t>
  </si>
  <si>
    <t>Thùng / Hộp / Kg / Tấn / Cái</t>
  </si>
  <si>
    <t>180-730 ngày hoặc rỗng (Gia dụng)</t>
  </si>
  <si>
    <t>NCCxxx (NCC001..NCC045)</t>
  </si>
  <si>
    <t>Số nguyên &gt;= 0</t>
  </si>
  <si>
    <t>Số nguyên &gt;= 0, tính theo % lượng Nhập</t>
  </si>
  <si>
    <t>POxxxxxx</t>
  </si>
  <si>
    <t>Ngày hợp lệ trong 24 tháng lịch sử</t>
  </si>
  <si>
    <t>VNĐ &gt; 0, &lt; GiaNiemYet tương ứng</t>
  </si>
  <si>
    <t>NVxx (NV01..NV30)</t>
  </si>
  <si>
    <t>Nhân viên/Trưởng nhóm/Giám sát Kinh doanh, Senior Sales</t>
  </si>
  <si>
    <t>Tập con của Dim_KhachHang.MaKhachHang (không đầy đủ)</t>
  </si>
  <si>
    <t>VIP / Thân thiết / Thường / Mới / Tiềm năng</t>
  </si>
  <si>
    <t>Dim_KhachHang.MaKhachHang</t>
  </si>
  <si>
    <t>Dim_NhanVienSales.MaNhanVien</t>
  </si>
  <si>
    <t>Fact_DonHang.MaDonHang</t>
  </si>
  <si>
    <t>Dim_SanPham.MaSanPham</t>
  </si>
  <si>
    <t>Fact_DonMuaHang.MaDonMuaHang</t>
  </si>
  <si>
    <t>Dim_NhaCungCap.MaNhaCungCap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</si>
</sst>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 t="s">
        <v>27</v>
      </c>
      <c r="D2" t="s">
        <v>41</v>
      </c>
      <c r="E2" t="s">
        <v>92</v>
      </c>
      <c r="F2" t="s">
        <v>105</v>
      </c>
      <c r="G2" t="s">
        <v>115</v>
      </c>
      <c r="H2" t="s">
        <v>189</v>
      </c>
    </row>
    <row r="3" spans="1:9">
      <c r="A3" t="s">
        <v>9</v>
      </c>
      <c r="B3" t="s">
        <v>13</v>
      </c>
      <c r="C3" t="s">
        <v>27</v>
      </c>
      <c r="D3" t="s">
        <v>42</v>
      </c>
      <c r="E3" t="s">
        <v>93</v>
      </c>
      <c r="F3" t="s">
        <v>106</v>
      </c>
      <c r="G3" t="s">
        <v>116</v>
      </c>
      <c r="H3" t="s">
        <v>190</v>
      </c>
    </row>
    <row r="4" spans="1:9">
      <c r="A4" t="s">
        <v>9</v>
      </c>
      <c r="B4" t="s">
        <v>13</v>
      </c>
      <c r="C4" t="s">
        <v>27</v>
      </c>
      <c r="D4" t="s">
        <v>43</v>
      </c>
      <c r="E4" t="s">
        <v>94</v>
      </c>
      <c r="F4" t="s">
        <v>106</v>
      </c>
      <c r="G4" t="s">
        <v>117</v>
      </c>
      <c r="H4" t="s">
        <v>191</v>
      </c>
    </row>
    <row r="5" spans="1:9">
      <c r="A5" t="s">
        <v>9</v>
      </c>
      <c r="B5" t="s">
        <v>13</v>
      </c>
      <c r="C5" t="s">
        <v>27</v>
      </c>
      <c r="D5" t="s">
        <v>44</v>
      </c>
      <c r="E5" t="s">
        <v>95</v>
      </c>
      <c r="F5" t="s">
        <v>106</v>
      </c>
      <c r="G5" t="s">
        <v>118</v>
      </c>
      <c r="H5" t="s">
        <v>192</v>
      </c>
    </row>
    <row r="6" spans="1:9">
      <c r="A6" t="s">
        <v>9</v>
      </c>
      <c r="B6" t="s">
        <v>13</v>
      </c>
      <c r="C6" t="s">
        <v>27</v>
      </c>
      <c r="D6" t="s">
        <v>45</v>
      </c>
      <c r="E6" t="s">
        <v>96</v>
      </c>
      <c r="F6" t="s">
        <v>106</v>
      </c>
      <c r="G6" t="s">
        <v>119</v>
      </c>
      <c r="H6" t="s">
        <v>193</v>
      </c>
    </row>
    <row r="7" spans="1:9">
      <c r="A7" t="s">
        <v>9</v>
      </c>
      <c r="B7" t="s">
        <v>13</v>
      </c>
      <c r="C7" t="s">
        <v>27</v>
      </c>
      <c r="D7" t="s">
        <v>46</v>
      </c>
      <c r="E7" t="s">
        <v>97</v>
      </c>
      <c r="F7" t="s">
        <v>107</v>
      </c>
      <c r="G7" t="s">
        <v>120</v>
      </c>
      <c r="H7" t="s">
        <v>194</v>
      </c>
    </row>
    <row r="8" spans="1:9">
      <c r="A8" t="s">
        <v>9</v>
      </c>
      <c r="B8" t="s">
        <v>14</v>
      </c>
      <c r="C8" t="s">
        <v>28</v>
      </c>
      <c r="D8" t="s">
        <v>47</v>
      </c>
      <c r="E8" t="s">
        <v>98</v>
      </c>
      <c r="F8" t="s">
        <v>105</v>
      </c>
      <c r="G8" t="s">
        <v>121</v>
      </c>
      <c r="H8" t="s">
        <v>195</v>
      </c>
    </row>
    <row r="9" spans="1:9">
      <c r="A9" t="s">
        <v>9</v>
      </c>
      <c r="B9" t="s">
        <v>14</v>
      </c>
      <c r="C9" t="s">
        <v>28</v>
      </c>
      <c r="D9" t="s">
        <v>41</v>
      </c>
      <c r="E9" t="s">
        <v>92</v>
      </c>
      <c r="F9" t="s">
        <v>108</v>
      </c>
      <c r="G9" t="s">
        <v>122</v>
      </c>
      <c r="H9" t="s">
        <v>196</v>
      </c>
      <c r="I9" t="s">
        <v>234</v>
      </c>
    </row>
    <row r="10" spans="1:9">
      <c r="A10" t="s">
        <v>9</v>
      </c>
      <c r="B10" t="s">
        <v>14</v>
      </c>
      <c r="C10" t="s">
        <v>28</v>
      </c>
      <c r="D10" t="s">
        <v>48</v>
      </c>
      <c r="E10" t="s">
        <v>99</v>
      </c>
      <c r="F10" t="s">
        <v>106</v>
      </c>
      <c r="G10" t="s">
        <v>123</v>
      </c>
      <c r="H10" t="s">
        <v>197</v>
      </c>
    </row>
    <row r="11" spans="1:9">
      <c r="A11" t="s">
        <v>9</v>
      </c>
      <c r="B11" t="s">
        <v>14</v>
      </c>
      <c r="C11" t="s">
        <v>28</v>
      </c>
      <c r="D11" t="s">
        <v>49</v>
      </c>
      <c r="E11" t="s">
        <v>94</v>
      </c>
      <c r="F11" t="s">
        <v>106</v>
      </c>
      <c r="G11" t="s">
        <v>124</v>
      </c>
      <c r="H11" t="s">
        <v>198</v>
      </c>
    </row>
    <row r="12" spans="1:9">
      <c r="A12" t="s">
        <v>9</v>
      </c>
      <c r="B12" t="s">
        <v>14</v>
      </c>
      <c r="C12" t="s">
        <v>28</v>
      </c>
      <c r="D12" t="s">
        <v>50</v>
      </c>
      <c r="E12" t="s">
        <v>92</v>
      </c>
      <c r="F12" t="s">
        <v>108</v>
      </c>
      <c r="G12" t="s">
        <v>125</v>
      </c>
      <c r="H12" t="s">
        <v>199</v>
      </c>
      <c r="I12" t="s">
        <v>235</v>
      </c>
    </row>
    <row r="13" spans="1:9">
      <c r="A13" t="s">
        <v>9</v>
      </c>
      <c r="B13" t="s">
        <v>14</v>
      </c>
      <c r="C13" t="s">
        <v>28</v>
      </c>
      <c r="D13" t="s">
        <v>51</v>
      </c>
      <c r="E13" t="s">
        <v>94</v>
      </c>
      <c r="F13" t="s">
        <v>106</v>
      </c>
      <c r="G13" t="s">
        <v>126</v>
      </c>
      <c r="H13" t="s">
        <v>200</v>
      </c>
    </row>
    <row r="14" spans="1:9">
      <c r="A14" t="s">
        <v>9</v>
      </c>
      <c r="B14" t="s">
        <v>15</v>
      </c>
      <c r="C14" t="s">
        <v>29</v>
      </c>
      <c r="D14" t="s">
        <v>52</v>
      </c>
      <c r="E14" t="s">
        <v>98</v>
      </c>
      <c r="F14" t="s">
        <v>105</v>
      </c>
      <c r="G14" t="s">
        <v>127</v>
      </c>
      <c r="H14" t="s">
        <v>201</v>
      </c>
    </row>
    <row r="15" spans="1:9">
      <c r="A15" t="s">
        <v>9</v>
      </c>
      <c r="B15" t="s">
        <v>15</v>
      </c>
      <c r="C15" t="s">
        <v>29</v>
      </c>
      <c r="D15" t="s">
        <v>47</v>
      </c>
      <c r="E15" t="s">
        <v>98</v>
      </c>
      <c r="F15" t="s">
        <v>108</v>
      </c>
      <c r="G15" t="s">
        <v>128</v>
      </c>
      <c r="H15" t="s">
        <v>202</v>
      </c>
      <c r="I15" t="s">
        <v>236</v>
      </c>
    </row>
    <row r="16" spans="1:9">
      <c r="A16" t="s">
        <v>9</v>
      </c>
      <c r="B16" t="s">
        <v>15</v>
      </c>
      <c r="C16" t="s">
        <v>29</v>
      </c>
      <c r="D16" t="s">
        <v>53</v>
      </c>
      <c r="E16" t="s">
        <v>92</v>
      </c>
      <c r="F16" t="s">
        <v>108</v>
      </c>
      <c r="G16" t="s">
        <v>129</v>
      </c>
      <c r="H16" t="s">
        <v>203</v>
      </c>
      <c r="I16" t="s">
        <v>237</v>
      </c>
    </row>
    <row r="17" spans="1:9">
      <c r="A17" t="s">
        <v>9</v>
      </c>
      <c r="B17" t="s">
        <v>15</v>
      </c>
      <c r="C17" t="s">
        <v>29</v>
      </c>
      <c r="D17" t="s">
        <v>54</v>
      </c>
      <c r="E17" t="s">
        <v>100</v>
      </c>
      <c r="F17" t="s">
        <v>109</v>
      </c>
      <c r="G17" t="s">
        <v>130</v>
      </c>
      <c r="H17" t="s">
        <v>204</v>
      </c>
    </row>
    <row r="18" spans="1:9">
      <c r="A18" t="s">
        <v>9</v>
      </c>
      <c r="B18" t="s">
        <v>15</v>
      </c>
      <c r="C18" t="s">
        <v>29</v>
      </c>
      <c r="D18" t="s">
        <v>55</v>
      </c>
      <c r="E18" t="s">
        <v>97</v>
      </c>
      <c r="F18" t="s">
        <v>109</v>
      </c>
      <c r="G18" t="s">
        <v>131</v>
      </c>
      <c r="H18" t="s">
        <v>205</v>
      </c>
    </row>
    <row r="19" spans="1:9">
      <c r="A19" t="s">
        <v>9</v>
      </c>
      <c r="B19" t="s">
        <v>15</v>
      </c>
      <c r="C19" t="s">
        <v>29</v>
      </c>
      <c r="D19" t="s">
        <v>56</v>
      </c>
      <c r="E19" t="s">
        <v>101</v>
      </c>
      <c r="F19" t="s">
        <v>109</v>
      </c>
      <c r="G19" t="s">
        <v>132</v>
      </c>
      <c r="H19" t="s">
        <v>206</v>
      </c>
    </row>
    <row r="20" spans="1:9">
      <c r="A20" t="s">
        <v>10</v>
      </c>
      <c r="B20" t="s">
        <v>16</v>
      </c>
      <c r="C20" t="s">
        <v>30</v>
      </c>
      <c r="D20" t="s">
        <v>57</v>
      </c>
      <c r="E20" t="s">
        <v>98</v>
      </c>
      <c r="F20" t="s">
        <v>105</v>
      </c>
      <c r="G20" t="s">
        <v>133</v>
      </c>
      <c r="H20" t="s">
        <v>207</v>
      </c>
    </row>
    <row r="21" spans="1:9">
      <c r="A21" t="s">
        <v>10</v>
      </c>
      <c r="B21" t="s">
        <v>16</v>
      </c>
      <c r="C21" t="s">
        <v>30</v>
      </c>
      <c r="D21" t="s">
        <v>47</v>
      </c>
      <c r="E21" t="s">
        <v>98</v>
      </c>
      <c r="F21" t="s">
        <v>108</v>
      </c>
      <c r="G21" t="s">
        <v>134</v>
      </c>
      <c r="H21" t="s">
        <v>202</v>
      </c>
      <c r="I21" t="s">
        <v>236</v>
      </c>
    </row>
    <row r="22" spans="1:9">
      <c r="A22" t="s">
        <v>10</v>
      </c>
      <c r="B22" t="s">
        <v>16</v>
      </c>
      <c r="C22" t="s">
        <v>30</v>
      </c>
      <c r="D22" t="s">
        <v>58</v>
      </c>
      <c r="E22" t="s">
        <v>96</v>
      </c>
      <c r="F22" t="s">
        <v>106</v>
      </c>
      <c r="G22" t="s">
        <v>135</v>
      </c>
      <c r="H22" t="s">
        <v>208</v>
      </c>
    </row>
    <row r="23" spans="1:9">
      <c r="A23" t="s">
        <v>10</v>
      </c>
      <c r="B23" t="s">
        <v>16</v>
      </c>
      <c r="C23" t="s">
        <v>30</v>
      </c>
      <c r="D23" t="s">
        <v>59</v>
      </c>
      <c r="E23" t="s">
        <v>96</v>
      </c>
      <c r="F23" t="s">
        <v>106</v>
      </c>
      <c r="G23" t="s">
        <v>136</v>
      </c>
      <c r="H23" t="s">
        <v>209</v>
      </c>
    </row>
    <row r="24" spans="1:9">
      <c r="A24" t="s">
        <v>10</v>
      </c>
      <c r="B24" t="s">
        <v>16</v>
      </c>
      <c r="C24" t="s">
        <v>30</v>
      </c>
      <c r="D24" t="s">
        <v>60</v>
      </c>
      <c r="E24" t="s">
        <v>97</v>
      </c>
      <c r="F24" t="s">
        <v>109</v>
      </c>
      <c r="G24" t="s">
        <v>137</v>
      </c>
      <c r="H24" t="s">
        <v>205</v>
      </c>
    </row>
    <row r="25" spans="1:9">
      <c r="A25" t="s">
        <v>10</v>
      </c>
      <c r="B25" t="s">
        <v>16</v>
      </c>
      <c r="C25" t="s">
        <v>30</v>
      </c>
      <c r="D25" t="s">
        <v>61</v>
      </c>
      <c r="E25" t="s">
        <v>97</v>
      </c>
      <c r="F25" t="s">
        <v>109</v>
      </c>
      <c r="G25" t="s">
        <v>138</v>
      </c>
      <c r="H25" t="s">
        <v>210</v>
      </c>
    </row>
    <row r="26" spans="1:9">
      <c r="A26" t="s">
        <v>10</v>
      </c>
      <c r="B26" t="s">
        <v>16</v>
      </c>
      <c r="C26" t="s">
        <v>30</v>
      </c>
      <c r="D26" t="s">
        <v>62</v>
      </c>
      <c r="E26" t="s">
        <v>97</v>
      </c>
      <c r="F26" t="s">
        <v>109</v>
      </c>
      <c r="G26" t="s">
        <v>139</v>
      </c>
      <c r="H26">
        <f> SoTien - DaThu (bản sạch)</f>
        <v>0</v>
      </c>
    </row>
    <row r="27" spans="1:9">
      <c r="A27" t="s">
        <v>10</v>
      </c>
      <c r="B27" t="s">
        <v>17</v>
      </c>
      <c r="C27" t="s">
        <v>31</v>
      </c>
      <c r="D27" t="s">
        <v>63</v>
      </c>
      <c r="E27" t="s">
        <v>98</v>
      </c>
      <c r="F27" t="s">
        <v>105</v>
      </c>
      <c r="G27" t="s">
        <v>140</v>
      </c>
      <c r="H27" t="s">
        <v>211</v>
      </c>
    </row>
    <row r="28" spans="1:9">
      <c r="A28" t="s">
        <v>10</v>
      </c>
      <c r="B28" t="s">
        <v>17</v>
      </c>
      <c r="C28" t="s">
        <v>31</v>
      </c>
      <c r="D28" t="s">
        <v>64</v>
      </c>
      <c r="E28" t="s">
        <v>98</v>
      </c>
      <c r="F28" t="s">
        <v>108</v>
      </c>
      <c r="G28" t="s">
        <v>141</v>
      </c>
      <c r="H28" t="s">
        <v>212</v>
      </c>
      <c r="I28" t="s">
        <v>238</v>
      </c>
    </row>
    <row r="29" spans="1:9">
      <c r="A29" t="s">
        <v>10</v>
      </c>
      <c r="B29" t="s">
        <v>17</v>
      </c>
      <c r="C29" t="s">
        <v>31</v>
      </c>
      <c r="D29" t="s">
        <v>65</v>
      </c>
      <c r="E29" t="s">
        <v>92</v>
      </c>
      <c r="F29" t="s">
        <v>108</v>
      </c>
      <c r="G29" t="s">
        <v>142</v>
      </c>
      <c r="H29" t="s">
        <v>213</v>
      </c>
      <c r="I29" t="s">
        <v>239</v>
      </c>
    </row>
    <row r="30" spans="1:9">
      <c r="A30" t="s">
        <v>10</v>
      </c>
      <c r="B30" t="s">
        <v>17</v>
      </c>
      <c r="C30" t="s">
        <v>31</v>
      </c>
      <c r="D30" t="s">
        <v>66</v>
      </c>
      <c r="E30" t="s">
        <v>96</v>
      </c>
      <c r="F30" t="s">
        <v>106</v>
      </c>
      <c r="G30" t="s">
        <v>143</v>
      </c>
      <c r="H30" t="s">
        <v>208</v>
      </c>
    </row>
    <row r="31" spans="1:9">
      <c r="A31" t="s">
        <v>10</v>
      </c>
      <c r="B31" t="s">
        <v>17</v>
      </c>
      <c r="C31" t="s">
        <v>31</v>
      </c>
      <c r="D31" t="s">
        <v>59</v>
      </c>
      <c r="E31" t="s">
        <v>96</v>
      </c>
      <c r="F31" t="s">
        <v>106</v>
      </c>
      <c r="G31" t="s">
        <v>144</v>
      </c>
      <c r="H31" t="s">
        <v>214</v>
      </c>
    </row>
    <row r="32" spans="1:9">
      <c r="A32" t="s">
        <v>10</v>
      </c>
      <c r="B32" t="s">
        <v>17</v>
      </c>
      <c r="C32" t="s">
        <v>31</v>
      </c>
      <c r="D32" t="s">
        <v>60</v>
      </c>
      <c r="E32" t="s">
        <v>97</v>
      </c>
      <c r="F32" t="s">
        <v>109</v>
      </c>
      <c r="G32" t="s">
        <v>145</v>
      </c>
      <c r="H32" t="s">
        <v>205</v>
      </c>
    </row>
    <row r="33" spans="1:9">
      <c r="A33" t="s">
        <v>10</v>
      </c>
      <c r="B33" t="s">
        <v>17</v>
      </c>
      <c r="C33" t="s">
        <v>31</v>
      </c>
      <c r="D33" t="s">
        <v>67</v>
      </c>
      <c r="E33" t="s">
        <v>97</v>
      </c>
      <c r="F33" t="s">
        <v>109</v>
      </c>
      <c r="G33" t="s">
        <v>146</v>
      </c>
      <c r="H33" t="s">
        <v>215</v>
      </c>
    </row>
    <row r="34" spans="1:9">
      <c r="A34" t="s">
        <v>10</v>
      </c>
      <c r="B34" t="s">
        <v>17</v>
      </c>
      <c r="C34" t="s">
        <v>31</v>
      </c>
      <c r="D34" t="s">
        <v>62</v>
      </c>
      <c r="E34" t="s">
        <v>97</v>
      </c>
      <c r="F34" t="s">
        <v>109</v>
      </c>
      <c r="G34" t="s">
        <v>147</v>
      </c>
      <c r="H34">
        <f> SoTien - DaTra (bản sạch)</f>
        <v>0</v>
      </c>
    </row>
    <row r="35" spans="1:9">
      <c r="A35" t="s">
        <v>10</v>
      </c>
      <c r="B35" t="s">
        <v>18</v>
      </c>
      <c r="C35" t="s">
        <v>32</v>
      </c>
      <c r="D35" t="s">
        <v>68</v>
      </c>
      <c r="E35" t="s">
        <v>92</v>
      </c>
      <c r="F35" t="s">
        <v>105</v>
      </c>
      <c r="G35" t="s">
        <v>148</v>
      </c>
      <c r="H35" t="s">
        <v>216</v>
      </c>
    </row>
    <row r="36" spans="1:9">
      <c r="A36" t="s">
        <v>10</v>
      </c>
      <c r="B36" t="s">
        <v>18</v>
      </c>
      <c r="C36" t="s">
        <v>32</v>
      </c>
      <c r="D36" t="s">
        <v>69</v>
      </c>
      <c r="E36" t="s">
        <v>95</v>
      </c>
      <c r="F36" t="s">
        <v>110</v>
      </c>
      <c r="G36" t="s">
        <v>149</v>
      </c>
      <c r="H36" t="s">
        <v>217</v>
      </c>
    </row>
    <row r="37" spans="1:9">
      <c r="A37" t="s">
        <v>10</v>
      </c>
      <c r="B37" t="s">
        <v>18</v>
      </c>
      <c r="C37" t="s">
        <v>32</v>
      </c>
      <c r="D37" t="s">
        <v>70</v>
      </c>
      <c r="E37" t="s">
        <v>102</v>
      </c>
      <c r="F37" t="s">
        <v>106</v>
      </c>
      <c r="G37" t="s">
        <v>150</v>
      </c>
      <c r="H37" t="s">
        <v>218</v>
      </c>
    </row>
    <row r="38" spans="1:9">
      <c r="A38" t="s">
        <v>10</v>
      </c>
      <c r="B38" t="s">
        <v>18</v>
      </c>
      <c r="C38" t="s">
        <v>32</v>
      </c>
      <c r="D38" t="s">
        <v>60</v>
      </c>
      <c r="E38" t="s">
        <v>97</v>
      </c>
      <c r="F38" t="s">
        <v>109</v>
      </c>
      <c r="G38" t="s">
        <v>151</v>
      </c>
      <c r="H38" t="s">
        <v>205</v>
      </c>
    </row>
    <row r="39" spans="1:9">
      <c r="A39" t="s">
        <v>10</v>
      </c>
      <c r="B39" t="s">
        <v>19</v>
      </c>
      <c r="C39" t="s">
        <v>33</v>
      </c>
      <c r="D39" t="s">
        <v>53</v>
      </c>
      <c r="E39" t="s">
        <v>92</v>
      </c>
      <c r="F39" t="s">
        <v>111</v>
      </c>
      <c r="G39" t="s">
        <v>152</v>
      </c>
      <c r="H39" t="s">
        <v>203</v>
      </c>
      <c r="I39" t="s">
        <v>237</v>
      </c>
    </row>
    <row r="40" spans="1:9">
      <c r="A40" t="s">
        <v>10</v>
      </c>
      <c r="B40" t="s">
        <v>19</v>
      </c>
      <c r="C40" t="s">
        <v>33</v>
      </c>
      <c r="D40" t="s">
        <v>71</v>
      </c>
      <c r="E40" t="s">
        <v>97</v>
      </c>
      <c r="F40" t="s">
        <v>109</v>
      </c>
      <c r="G40" t="s">
        <v>153</v>
      </c>
      <c r="H40" t="s">
        <v>219</v>
      </c>
    </row>
    <row r="41" spans="1:9">
      <c r="A41" t="s">
        <v>11</v>
      </c>
      <c r="B41" t="s">
        <v>20</v>
      </c>
      <c r="C41" t="s">
        <v>34</v>
      </c>
      <c r="D41" t="s">
        <v>53</v>
      </c>
      <c r="E41" t="s">
        <v>92</v>
      </c>
      <c r="F41" t="s">
        <v>105</v>
      </c>
      <c r="G41" t="s">
        <v>154</v>
      </c>
      <c r="H41" t="s">
        <v>220</v>
      </c>
    </row>
    <row r="42" spans="1:9">
      <c r="A42" t="s">
        <v>11</v>
      </c>
      <c r="B42" t="s">
        <v>20</v>
      </c>
      <c r="C42" t="s">
        <v>34</v>
      </c>
      <c r="D42" t="s">
        <v>72</v>
      </c>
      <c r="E42" t="s">
        <v>93</v>
      </c>
      <c r="F42" t="s">
        <v>106</v>
      </c>
      <c r="G42" t="s">
        <v>155</v>
      </c>
      <c r="H42" t="s">
        <v>190</v>
      </c>
    </row>
    <row r="43" spans="1:9">
      <c r="A43" t="s">
        <v>11</v>
      </c>
      <c r="B43" t="s">
        <v>20</v>
      </c>
      <c r="C43" t="s">
        <v>34</v>
      </c>
      <c r="D43" t="s">
        <v>73</v>
      </c>
      <c r="E43" t="s">
        <v>102</v>
      </c>
      <c r="F43" t="s">
        <v>106</v>
      </c>
      <c r="G43" t="s">
        <v>156</v>
      </c>
      <c r="H43" t="s">
        <v>221</v>
      </c>
    </row>
    <row r="44" spans="1:9">
      <c r="A44" t="s">
        <v>11</v>
      </c>
      <c r="B44" t="s">
        <v>20</v>
      </c>
      <c r="C44" t="s">
        <v>34</v>
      </c>
      <c r="D44" t="s">
        <v>74</v>
      </c>
      <c r="E44" t="s">
        <v>103</v>
      </c>
      <c r="F44" t="s">
        <v>106</v>
      </c>
      <c r="G44" t="s">
        <v>157</v>
      </c>
      <c r="H44" t="s">
        <v>222</v>
      </c>
    </row>
    <row r="45" spans="1:9">
      <c r="A45" t="s">
        <v>11</v>
      </c>
      <c r="B45" t="s">
        <v>20</v>
      </c>
      <c r="C45" t="s">
        <v>34</v>
      </c>
      <c r="D45" t="s">
        <v>75</v>
      </c>
      <c r="E45" t="s">
        <v>97</v>
      </c>
      <c r="F45" t="s">
        <v>109</v>
      </c>
      <c r="G45" t="s">
        <v>158</v>
      </c>
      <c r="H45" t="s">
        <v>205</v>
      </c>
    </row>
    <row r="46" spans="1:9">
      <c r="A46" t="s">
        <v>11</v>
      </c>
      <c r="B46" t="s">
        <v>20</v>
      </c>
      <c r="C46" t="s">
        <v>34</v>
      </c>
      <c r="D46" t="s">
        <v>76</v>
      </c>
      <c r="E46" t="s">
        <v>100</v>
      </c>
      <c r="F46" t="s">
        <v>107</v>
      </c>
      <c r="G46" t="s">
        <v>159</v>
      </c>
      <c r="H46" t="s">
        <v>223</v>
      </c>
    </row>
    <row r="47" spans="1:9">
      <c r="A47" t="s">
        <v>11</v>
      </c>
      <c r="B47" t="s">
        <v>21</v>
      </c>
      <c r="C47" t="s">
        <v>35</v>
      </c>
      <c r="D47" t="s">
        <v>65</v>
      </c>
      <c r="E47" t="s">
        <v>92</v>
      </c>
      <c r="F47" t="s">
        <v>105</v>
      </c>
      <c r="G47" t="s">
        <v>160</v>
      </c>
      <c r="H47" t="s">
        <v>224</v>
      </c>
    </row>
    <row r="48" spans="1:9">
      <c r="A48" t="s">
        <v>11</v>
      </c>
      <c r="B48" t="s">
        <v>21</v>
      </c>
      <c r="C48" t="s">
        <v>35</v>
      </c>
      <c r="D48" t="s">
        <v>77</v>
      </c>
      <c r="E48" t="s">
        <v>93</v>
      </c>
      <c r="F48" t="s">
        <v>106</v>
      </c>
      <c r="G48" t="s">
        <v>161</v>
      </c>
      <c r="H48" t="s">
        <v>190</v>
      </c>
    </row>
    <row r="49" spans="1:9">
      <c r="A49" t="s">
        <v>11</v>
      </c>
      <c r="B49" t="s">
        <v>21</v>
      </c>
      <c r="C49" t="s">
        <v>35</v>
      </c>
      <c r="D49" t="s">
        <v>43</v>
      </c>
      <c r="E49" t="s">
        <v>94</v>
      </c>
      <c r="F49" t="s">
        <v>106</v>
      </c>
      <c r="G49" t="s">
        <v>162</v>
      </c>
      <c r="H49" t="s">
        <v>191</v>
      </c>
    </row>
    <row r="50" spans="1:9">
      <c r="A50" t="s">
        <v>11</v>
      </c>
      <c r="B50" t="s">
        <v>21</v>
      </c>
      <c r="C50" t="s">
        <v>35</v>
      </c>
      <c r="D50" t="s">
        <v>78</v>
      </c>
      <c r="E50" t="s">
        <v>96</v>
      </c>
      <c r="F50" t="s">
        <v>106</v>
      </c>
      <c r="G50" t="s">
        <v>163</v>
      </c>
      <c r="H50" t="s">
        <v>193</v>
      </c>
    </row>
    <row r="51" spans="1:9">
      <c r="A51" t="s">
        <v>11</v>
      </c>
      <c r="B51" t="s">
        <v>22</v>
      </c>
      <c r="C51" t="s">
        <v>36</v>
      </c>
      <c r="D51" t="s">
        <v>53</v>
      </c>
      <c r="E51" t="s">
        <v>92</v>
      </c>
      <c r="F51" t="s">
        <v>112</v>
      </c>
      <c r="G51" t="s">
        <v>164</v>
      </c>
      <c r="H51" t="s">
        <v>203</v>
      </c>
      <c r="I51" t="s">
        <v>237</v>
      </c>
    </row>
    <row r="52" spans="1:9">
      <c r="A52" t="s">
        <v>11</v>
      </c>
      <c r="B52" t="s">
        <v>22</v>
      </c>
      <c r="C52" t="s">
        <v>36</v>
      </c>
      <c r="D52" t="s">
        <v>69</v>
      </c>
      <c r="E52" t="s">
        <v>95</v>
      </c>
      <c r="F52" t="s">
        <v>113</v>
      </c>
      <c r="G52" t="s">
        <v>165</v>
      </c>
      <c r="H52" t="s">
        <v>217</v>
      </c>
    </row>
    <row r="53" spans="1:9">
      <c r="A53" t="s">
        <v>11</v>
      </c>
      <c r="B53" t="s">
        <v>22</v>
      </c>
      <c r="C53" t="s">
        <v>36</v>
      </c>
      <c r="D53" t="s">
        <v>79</v>
      </c>
      <c r="E53" t="s">
        <v>100</v>
      </c>
      <c r="F53" t="s">
        <v>109</v>
      </c>
      <c r="G53" t="s">
        <v>166</v>
      </c>
      <c r="H53" t="s">
        <v>225</v>
      </c>
    </row>
    <row r="54" spans="1:9">
      <c r="A54" t="s">
        <v>11</v>
      </c>
      <c r="B54" t="s">
        <v>22</v>
      </c>
      <c r="C54" t="s">
        <v>36</v>
      </c>
      <c r="D54" t="s">
        <v>80</v>
      </c>
      <c r="E54" t="s">
        <v>100</v>
      </c>
      <c r="F54" t="s">
        <v>109</v>
      </c>
      <c r="G54" t="s">
        <v>167</v>
      </c>
      <c r="H54" t="s">
        <v>225</v>
      </c>
    </row>
    <row r="55" spans="1:9">
      <c r="A55" t="s">
        <v>11</v>
      </c>
      <c r="B55" t="s">
        <v>22</v>
      </c>
      <c r="C55" t="s">
        <v>36</v>
      </c>
      <c r="D55" t="s">
        <v>81</v>
      </c>
      <c r="E55" t="s">
        <v>100</v>
      </c>
      <c r="F55" t="s">
        <v>109</v>
      </c>
      <c r="G55" t="s">
        <v>168</v>
      </c>
      <c r="H55" t="s">
        <v>225</v>
      </c>
    </row>
    <row r="56" spans="1:9">
      <c r="A56" t="s">
        <v>11</v>
      </c>
      <c r="B56" t="s">
        <v>22</v>
      </c>
      <c r="C56" t="s">
        <v>36</v>
      </c>
      <c r="D56" t="s">
        <v>82</v>
      </c>
      <c r="E56" t="s">
        <v>100</v>
      </c>
      <c r="F56" t="s">
        <v>114</v>
      </c>
      <c r="G56" t="s">
        <v>169</v>
      </c>
      <c r="H56" t="s">
        <v>226</v>
      </c>
    </row>
    <row r="57" spans="1:9">
      <c r="A57" t="s">
        <v>11</v>
      </c>
      <c r="B57" t="s">
        <v>22</v>
      </c>
      <c r="C57" t="s">
        <v>36</v>
      </c>
      <c r="D57" t="s">
        <v>83</v>
      </c>
      <c r="E57" t="s">
        <v>100</v>
      </c>
      <c r="F57" t="s">
        <v>109</v>
      </c>
      <c r="G57" t="s">
        <v>170</v>
      </c>
      <c r="H57">
        <f> TonDauKy + Nhap - Xuat - HaoHut (bản sạch)</f>
        <v>0</v>
      </c>
    </row>
    <row r="58" spans="1:9">
      <c r="A58" t="s">
        <v>11</v>
      </c>
      <c r="B58" t="s">
        <v>23</v>
      </c>
      <c r="C58" t="s">
        <v>37</v>
      </c>
      <c r="D58" t="s">
        <v>64</v>
      </c>
      <c r="E58" t="s">
        <v>98</v>
      </c>
      <c r="F58" t="s">
        <v>105</v>
      </c>
      <c r="G58" t="s">
        <v>171</v>
      </c>
      <c r="H58" t="s">
        <v>227</v>
      </c>
    </row>
    <row r="59" spans="1:9">
      <c r="A59" t="s">
        <v>11</v>
      </c>
      <c r="B59" t="s">
        <v>23</v>
      </c>
      <c r="C59" t="s">
        <v>37</v>
      </c>
      <c r="D59" t="s">
        <v>65</v>
      </c>
      <c r="E59" t="s">
        <v>92</v>
      </c>
      <c r="F59" t="s">
        <v>108</v>
      </c>
      <c r="G59" t="s">
        <v>172</v>
      </c>
      <c r="H59" t="s">
        <v>213</v>
      </c>
      <c r="I59" t="s">
        <v>239</v>
      </c>
    </row>
    <row r="60" spans="1:9">
      <c r="A60" t="s">
        <v>11</v>
      </c>
      <c r="B60" t="s">
        <v>23</v>
      </c>
      <c r="C60" t="s">
        <v>37</v>
      </c>
      <c r="D60" t="s">
        <v>53</v>
      </c>
      <c r="E60" t="s">
        <v>92</v>
      </c>
      <c r="F60" t="s">
        <v>108</v>
      </c>
      <c r="G60" t="s">
        <v>173</v>
      </c>
      <c r="H60" t="s">
        <v>203</v>
      </c>
      <c r="I60" t="s">
        <v>237</v>
      </c>
    </row>
    <row r="61" spans="1:9">
      <c r="A61" t="s">
        <v>11</v>
      </c>
      <c r="B61" t="s">
        <v>23</v>
      </c>
      <c r="C61" t="s">
        <v>37</v>
      </c>
      <c r="D61" t="s">
        <v>48</v>
      </c>
      <c r="E61" t="s">
        <v>96</v>
      </c>
      <c r="F61" t="s">
        <v>106</v>
      </c>
      <c r="G61" t="s">
        <v>174</v>
      </c>
      <c r="H61" t="s">
        <v>228</v>
      </c>
    </row>
    <row r="62" spans="1:9">
      <c r="A62" t="s">
        <v>11</v>
      </c>
      <c r="B62" t="s">
        <v>23</v>
      </c>
      <c r="C62" t="s">
        <v>37</v>
      </c>
      <c r="D62" t="s">
        <v>54</v>
      </c>
      <c r="E62" t="s">
        <v>100</v>
      </c>
      <c r="F62" t="s">
        <v>109</v>
      </c>
      <c r="G62" t="s">
        <v>175</v>
      </c>
      <c r="H62" t="s">
        <v>204</v>
      </c>
    </row>
    <row r="63" spans="1:9">
      <c r="A63" t="s">
        <v>11</v>
      </c>
      <c r="B63" t="s">
        <v>23</v>
      </c>
      <c r="C63" t="s">
        <v>37</v>
      </c>
      <c r="D63" t="s">
        <v>84</v>
      </c>
      <c r="E63" t="s">
        <v>97</v>
      </c>
      <c r="F63" t="s">
        <v>109</v>
      </c>
      <c r="G63" t="s">
        <v>176</v>
      </c>
      <c r="H63" t="s">
        <v>229</v>
      </c>
    </row>
    <row r="64" spans="1:9">
      <c r="A64" t="s">
        <v>12</v>
      </c>
      <c r="B64" t="s">
        <v>24</v>
      </c>
      <c r="C64" t="s">
        <v>38</v>
      </c>
      <c r="D64" t="s">
        <v>85</v>
      </c>
      <c r="E64" t="s">
        <v>92</v>
      </c>
      <c r="F64" t="s">
        <v>105</v>
      </c>
      <c r="G64" t="s">
        <v>177</v>
      </c>
      <c r="H64" t="s">
        <v>230</v>
      </c>
    </row>
    <row r="65" spans="1:9">
      <c r="A65" t="s">
        <v>12</v>
      </c>
      <c r="B65" t="s">
        <v>24</v>
      </c>
      <c r="C65" t="s">
        <v>38</v>
      </c>
      <c r="D65" t="s">
        <v>86</v>
      </c>
      <c r="E65" t="s">
        <v>104</v>
      </c>
      <c r="F65" t="s">
        <v>106</v>
      </c>
      <c r="G65" t="s">
        <v>178</v>
      </c>
      <c r="H65" t="s">
        <v>190</v>
      </c>
    </row>
    <row r="66" spans="1:9">
      <c r="A66" t="s">
        <v>12</v>
      </c>
      <c r="B66" t="s">
        <v>24</v>
      </c>
      <c r="C66" t="s">
        <v>38</v>
      </c>
      <c r="D66" t="s">
        <v>87</v>
      </c>
      <c r="E66" t="s">
        <v>94</v>
      </c>
      <c r="F66" t="s">
        <v>106</v>
      </c>
      <c r="G66" t="s">
        <v>179</v>
      </c>
      <c r="H66" t="s">
        <v>191</v>
      </c>
    </row>
    <row r="67" spans="1:9">
      <c r="A67" t="s">
        <v>12</v>
      </c>
      <c r="B67" t="s">
        <v>24</v>
      </c>
      <c r="C67" t="s">
        <v>38</v>
      </c>
      <c r="D67" t="s">
        <v>88</v>
      </c>
      <c r="E67" t="s">
        <v>94</v>
      </c>
      <c r="F67" t="s">
        <v>106</v>
      </c>
      <c r="G67" t="s">
        <v>180</v>
      </c>
      <c r="H67" t="s">
        <v>231</v>
      </c>
    </row>
    <row r="68" spans="1:9">
      <c r="A68" t="s">
        <v>12</v>
      </c>
      <c r="B68" t="s">
        <v>24</v>
      </c>
      <c r="C68" t="s">
        <v>38</v>
      </c>
      <c r="D68" t="s">
        <v>89</v>
      </c>
      <c r="E68" t="s">
        <v>96</v>
      </c>
      <c r="F68" t="s">
        <v>106</v>
      </c>
      <c r="G68" t="s">
        <v>181</v>
      </c>
      <c r="H68" t="s">
        <v>193</v>
      </c>
    </row>
    <row r="69" spans="1:9">
      <c r="A69" t="s">
        <v>12</v>
      </c>
      <c r="B69" t="s">
        <v>25</v>
      </c>
      <c r="C69" t="s">
        <v>39</v>
      </c>
      <c r="D69" t="s">
        <v>69</v>
      </c>
      <c r="E69" t="s">
        <v>95</v>
      </c>
      <c r="F69" t="s">
        <v>113</v>
      </c>
      <c r="G69" t="s">
        <v>182</v>
      </c>
      <c r="H69" t="s">
        <v>217</v>
      </c>
    </row>
    <row r="70" spans="1:9">
      <c r="A70" t="s">
        <v>12</v>
      </c>
      <c r="B70" t="s">
        <v>25</v>
      </c>
      <c r="C70" t="s">
        <v>39</v>
      </c>
      <c r="D70" t="s">
        <v>43</v>
      </c>
      <c r="E70" t="s">
        <v>94</v>
      </c>
      <c r="F70" t="s">
        <v>113</v>
      </c>
      <c r="G70" t="s">
        <v>183</v>
      </c>
      <c r="H70" t="s">
        <v>191</v>
      </c>
    </row>
    <row r="71" spans="1:9">
      <c r="A71" t="s">
        <v>12</v>
      </c>
      <c r="B71" t="s">
        <v>25</v>
      </c>
      <c r="C71" t="s">
        <v>39</v>
      </c>
      <c r="D71" t="s">
        <v>85</v>
      </c>
      <c r="E71" t="s">
        <v>92</v>
      </c>
      <c r="F71" t="s">
        <v>112</v>
      </c>
      <c r="G71" t="s">
        <v>184</v>
      </c>
      <c r="H71" t="s">
        <v>199</v>
      </c>
      <c r="I71" t="s">
        <v>235</v>
      </c>
    </row>
    <row r="72" spans="1:9">
      <c r="A72" t="s">
        <v>12</v>
      </c>
      <c r="B72" t="s">
        <v>25</v>
      </c>
      <c r="C72" t="s">
        <v>39</v>
      </c>
      <c r="D72" t="s">
        <v>90</v>
      </c>
      <c r="E72" t="s">
        <v>97</v>
      </c>
      <c r="F72" t="s">
        <v>109</v>
      </c>
      <c r="G72" t="s">
        <v>185</v>
      </c>
      <c r="H72" t="s">
        <v>205</v>
      </c>
    </row>
    <row r="73" spans="1:9">
      <c r="A73" t="s">
        <v>12</v>
      </c>
      <c r="B73" t="s">
        <v>26</v>
      </c>
      <c r="C73" t="s">
        <v>40</v>
      </c>
      <c r="D73" t="s">
        <v>41</v>
      </c>
      <c r="E73" t="s">
        <v>92</v>
      </c>
      <c r="F73" t="s">
        <v>111</v>
      </c>
      <c r="G73" t="s">
        <v>186</v>
      </c>
      <c r="H73" t="s">
        <v>232</v>
      </c>
      <c r="I73" t="s">
        <v>234</v>
      </c>
    </row>
    <row r="74" spans="1:9">
      <c r="A74" t="s">
        <v>12</v>
      </c>
      <c r="B74" t="s">
        <v>26</v>
      </c>
      <c r="C74" t="s">
        <v>40</v>
      </c>
      <c r="D74" t="s">
        <v>42</v>
      </c>
      <c r="E74" t="s">
        <v>93</v>
      </c>
      <c r="F74" t="s">
        <v>106</v>
      </c>
      <c r="G74" t="s">
        <v>187</v>
      </c>
      <c r="H74" t="s">
        <v>190</v>
      </c>
    </row>
    <row r="75" spans="1:9">
      <c r="A75" t="s">
        <v>12</v>
      </c>
      <c r="B75" t="s">
        <v>26</v>
      </c>
      <c r="C75" t="s">
        <v>40</v>
      </c>
      <c r="D75" t="s">
        <v>91</v>
      </c>
      <c r="E75" t="s">
        <v>94</v>
      </c>
      <c r="F75" t="s">
        <v>106</v>
      </c>
      <c r="G75" t="s">
        <v>188</v>
      </c>
      <c r="H7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2026-08-05T02:22:34Z</dcterms:created>
  <dcterms:modified xsi:type="dcterms:W3CDTF">2026-08-05T02:22:34Z</dcterms:modified>
</cp:coreProperties>
</file>